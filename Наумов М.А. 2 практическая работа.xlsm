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Михаил\Desktop\MCC\"/>
    </mc:Choice>
  </mc:AlternateContent>
  <bookViews>
    <workbookView xWindow="0" yWindow="0" windowWidth="23040" windowHeight="9192"/>
  </bookViews>
  <sheets>
    <sheet name="Граничные условия 1 рода (2)" sheetId="3" r:id="rId1"/>
    <sheet name="Граничные условия 2 рода (2)" sheetId="4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5" i="4" l="1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AG14" i="4"/>
  <c r="AF14" i="4"/>
  <c r="AE14" i="4"/>
  <c r="Y14" i="4"/>
  <c r="X14" i="4"/>
  <c r="W14" i="4"/>
  <c r="Q14" i="4"/>
  <c r="P14" i="4"/>
  <c r="O14" i="4"/>
  <c r="I14" i="4"/>
  <c r="H14" i="4"/>
  <c r="G14" i="4"/>
  <c r="B13" i="4"/>
  <c r="F10" i="4"/>
  <c r="G10" i="4" s="1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B2" i="4"/>
  <c r="AD14" i="4" s="1"/>
  <c r="J14" i="4" l="1"/>
  <c r="R14" i="4"/>
  <c r="Z14" i="4"/>
  <c r="AH14" i="4"/>
  <c r="K14" i="4"/>
  <c r="S14" i="4"/>
  <c r="AA14" i="4"/>
  <c r="L14" i="4"/>
  <c r="T14" i="4"/>
  <c r="AB14" i="4"/>
  <c r="E11" i="4"/>
  <c r="B14" i="4"/>
  <c r="M14" i="4"/>
  <c r="U14" i="4"/>
  <c r="AC14" i="4"/>
  <c r="B12" i="4"/>
  <c r="N14" i="4"/>
  <c r="V14" i="4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G16" i="3"/>
  <c r="AJ15" i="3"/>
  <c r="C22" i="3"/>
  <c r="B22" i="3"/>
  <c r="D22" i="3" s="1"/>
  <c r="AJ13" i="3"/>
  <c r="F13" i="3"/>
  <c r="C4" i="3"/>
  <c r="F14" i="4" l="1"/>
  <c r="E17" i="4"/>
  <c r="F17" i="4" s="1"/>
  <c r="E15" i="4"/>
  <c r="F16" i="4"/>
  <c r="G17" i="3"/>
  <c r="G18" i="3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G17" i="4" l="1"/>
  <c r="G16" i="4"/>
  <c r="H17" i="3"/>
  <c r="G15" i="3"/>
  <c r="H18" i="3"/>
  <c r="G19" i="3"/>
  <c r="H16" i="4" l="1"/>
  <c r="H17" i="4"/>
  <c r="I17" i="4" s="1"/>
  <c r="H15" i="3"/>
  <c r="I17" i="3"/>
  <c r="I18" i="3"/>
  <c r="H19" i="3"/>
  <c r="J17" i="4" l="1"/>
  <c r="I16" i="4"/>
  <c r="I15" i="3"/>
  <c r="I19" i="3"/>
  <c r="J17" i="3"/>
  <c r="K17" i="3" s="1"/>
  <c r="J18" i="3"/>
  <c r="J16" i="4" l="1"/>
  <c r="K18" i="3"/>
  <c r="K15" i="3" s="1"/>
  <c r="J19" i="3"/>
  <c r="J15" i="3"/>
  <c r="L17" i="3"/>
  <c r="K16" i="4" l="1"/>
  <c r="K17" i="4"/>
  <c r="L17" i="4" s="1"/>
  <c r="K19" i="3"/>
  <c r="L18" i="3"/>
  <c r="L15" i="3" s="1"/>
  <c r="M17" i="3"/>
  <c r="L16" i="4" l="1"/>
  <c r="M18" i="3"/>
  <c r="N18" i="3" s="1"/>
  <c r="L19" i="3"/>
  <c r="N17" i="3"/>
  <c r="M16" i="4" l="1"/>
  <c r="M17" i="4"/>
  <c r="N17" i="4" s="1"/>
  <c r="M19" i="3"/>
  <c r="M15" i="3"/>
  <c r="O18" i="3"/>
  <c r="N15" i="3"/>
  <c r="O17" i="3"/>
  <c r="N19" i="3"/>
  <c r="O17" i="4" l="1"/>
  <c r="N16" i="4"/>
  <c r="O15" i="3"/>
  <c r="P17" i="3"/>
  <c r="O19" i="3"/>
  <c r="P18" i="3"/>
  <c r="O16" i="4" l="1"/>
  <c r="P17" i="4"/>
  <c r="P15" i="3"/>
  <c r="Q18" i="3"/>
  <c r="Q17" i="3"/>
  <c r="P19" i="3"/>
  <c r="P16" i="4" l="1"/>
  <c r="Q15" i="3"/>
  <c r="R17" i="3"/>
  <c r="Q19" i="3"/>
  <c r="R18" i="3"/>
  <c r="Q16" i="4" l="1"/>
  <c r="Q17" i="4"/>
  <c r="R17" i="4" s="1"/>
  <c r="R15" i="3"/>
  <c r="S18" i="3"/>
  <c r="S17" i="3"/>
  <c r="R19" i="3"/>
  <c r="S17" i="4" l="1"/>
  <c r="R16" i="4"/>
  <c r="S15" i="3"/>
  <c r="T17" i="3"/>
  <c r="S19" i="3"/>
  <c r="T18" i="3"/>
  <c r="S16" i="4" l="1"/>
  <c r="U18" i="3"/>
  <c r="T15" i="3"/>
  <c r="U17" i="3"/>
  <c r="T19" i="3"/>
  <c r="T16" i="4" l="1"/>
  <c r="T17" i="4"/>
  <c r="U17" i="4" s="1"/>
  <c r="U15" i="3"/>
  <c r="V17" i="3"/>
  <c r="U19" i="3"/>
  <c r="V18" i="3"/>
  <c r="V17" i="4" l="1"/>
  <c r="U16" i="4"/>
  <c r="W18" i="3"/>
  <c r="V15" i="3"/>
  <c r="W17" i="3"/>
  <c r="V19" i="3"/>
  <c r="W17" i="4" l="1"/>
  <c r="V16" i="4"/>
  <c r="W15" i="3"/>
  <c r="X17" i="3"/>
  <c r="W19" i="3"/>
  <c r="X18" i="3"/>
  <c r="X17" i="4" l="1"/>
  <c r="W16" i="4"/>
  <c r="X15" i="3"/>
  <c r="Y18" i="3"/>
  <c r="Y17" i="3"/>
  <c r="X19" i="3"/>
  <c r="Y17" i="4" l="1"/>
  <c r="X16" i="4"/>
  <c r="Z18" i="3"/>
  <c r="Y15" i="3"/>
  <c r="Z17" i="3"/>
  <c r="Y19" i="3"/>
  <c r="Y16" i="4" l="1"/>
  <c r="Z15" i="3"/>
  <c r="AA17" i="3"/>
  <c r="Z19" i="3"/>
  <c r="AA18" i="3"/>
  <c r="Z16" i="4" l="1"/>
  <c r="Z17" i="4"/>
  <c r="AA17" i="4" s="1"/>
  <c r="AB18" i="3"/>
  <c r="AA15" i="3"/>
  <c r="AB17" i="3"/>
  <c r="AA19" i="3"/>
  <c r="AA16" i="4" l="1"/>
  <c r="AB15" i="3"/>
  <c r="AC17" i="3"/>
  <c r="AB19" i="3"/>
  <c r="AC18" i="3"/>
  <c r="AB16" i="4" l="1"/>
  <c r="AB17" i="4"/>
  <c r="AC17" i="4" s="1"/>
  <c r="AC15" i="3"/>
  <c r="AD18" i="3"/>
  <c r="AD17" i="3"/>
  <c r="AC19" i="3"/>
  <c r="AD17" i="4" l="1"/>
  <c r="AC16" i="4"/>
  <c r="AD15" i="3"/>
  <c r="AE17" i="3"/>
  <c r="AD19" i="3"/>
  <c r="AE18" i="3"/>
  <c r="AE17" i="4" l="1"/>
  <c r="AD16" i="4"/>
  <c r="AE15" i="3"/>
  <c r="AF18" i="3"/>
  <c r="AF17" i="3"/>
  <c r="AE19" i="3"/>
  <c r="AE16" i="4" l="1"/>
  <c r="AF15" i="3"/>
  <c r="AG17" i="3"/>
  <c r="AF19" i="3"/>
  <c r="AG18" i="3"/>
  <c r="AF16" i="4" l="1"/>
  <c r="AF17" i="4"/>
  <c r="AG17" i="4" s="1"/>
  <c r="AG15" i="3"/>
  <c r="AH18" i="3"/>
  <c r="AH17" i="3"/>
  <c r="AG19" i="3"/>
  <c r="AG16" i="4" l="1"/>
  <c r="AH15" i="3"/>
  <c r="AI17" i="3"/>
  <c r="AH19" i="3"/>
  <c r="AI18" i="3"/>
  <c r="AH16" i="4" l="1"/>
  <c r="AH17" i="4"/>
  <c r="AI17" i="4" s="1"/>
  <c r="AI15" i="3"/>
  <c r="AI19" i="3"/>
  <c r="AH13" i="4" l="1"/>
  <c r="AG13" i="4" s="1"/>
  <c r="AF13" i="4" s="1"/>
  <c r="AE13" i="4" s="1"/>
  <c r="AD13" i="4" s="1"/>
  <c r="AC13" i="4" s="1"/>
  <c r="AB13" i="4" s="1"/>
  <c r="AA13" i="4" s="1"/>
  <c r="Z13" i="4" s="1"/>
  <c r="Y13" i="4" s="1"/>
  <c r="X13" i="4" s="1"/>
  <c r="W13" i="4" s="1"/>
  <c r="V13" i="4" s="1"/>
  <c r="U13" i="4" s="1"/>
  <c r="T13" i="4" s="1"/>
  <c r="S13" i="4" s="1"/>
  <c r="R13" i="4" s="1"/>
  <c r="Q13" i="4" s="1"/>
  <c r="P13" i="4" s="1"/>
  <c r="O13" i="4" s="1"/>
  <c r="N13" i="4" s="1"/>
  <c r="M13" i="4" s="1"/>
  <c r="L13" i="4" s="1"/>
  <c r="K13" i="4" s="1"/>
  <c r="J13" i="4" s="1"/>
  <c r="I13" i="4" s="1"/>
  <c r="H13" i="4" s="1"/>
  <c r="G13" i="4" s="1"/>
  <c r="F13" i="4" s="1"/>
  <c r="AI16" i="4"/>
</calcChain>
</file>

<file path=xl/sharedStrings.xml><?xml version="1.0" encoding="utf-8"?>
<sst xmlns="http://schemas.openxmlformats.org/spreadsheetml/2006/main" count="40" uniqueCount="29">
  <si>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</si>
  <si>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</si>
  <si>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</si>
  <si>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</si>
  <si>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</si>
  <si>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</si>
  <si>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</si>
  <si>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</si>
  <si>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</si>
  <si>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</si>
  <si>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</si>
  <si>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</si>
  <si>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q_start</t>
  </si>
  <si>
    <t>Ai</t>
  </si>
  <si>
    <t>Bi</t>
  </si>
  <si>
    <t>Ci</t>
  </si>
  <si>
    <t>Fi</t>
  </si>
  <si>
    <t>α</t>
  </si>
  <si>
    <t>β</t>
  </si>
  <si>
    <t>Ti</t>
  </si>
  <si>
    <t>Т_start</t>
  </si>
  <si>
    <t>Т_end</t>
  </si>
  <si>
    <t>A</t>
  </si>
  <si>
    <t>B</t>
  </si>
  <si>
    <t>T_i</t>
  </si>
  <si>
    <t>C</t>
  </si>
  <si>
    <t>F</t>
  </si>
  <si>
    <t>Alpha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</si>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</sst>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00_ ;\-0.000\ 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0" fontId="0" fillId="0" borderId="1" xfId="0" applyBorder="1"/>
    <xf numFmtId="164" fontId="0" fillId="0" borderId="1" xfId="0" applyNumberFormat="1" applyBorder="1"/>
    <xf numFmtId="164" fontId="0" fillId="0" borderId="0" xfId="0" applyNumberFormat="1"/>
    <xf numFmtId="1" fontId="0" fillId="0" borderId="1" xfId="0" applyNumberFormat="1" applyBorder="1"/>
    <xf numFmtId="166" fontId="0" fillId="0" borderId="1" xfId="0" applyNumberFormat="1" applyBorder="1"/>
    <xf numFmtId="0" fontId="0" fillId="0" borderId="1" xfId="0" applyFill="1" applyBorder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45769287275113E-2"/>
          <c:y val="6.7750663049599244E-2"/>
          <c:w val="0.85876963250946903"/>
          <c:h val="0.87751149574045717"/>
        </c:manualLayout>
      </c:layout>
      <c:scatterChart>
        <c:scatterStyle val="smoothMarker"/>
        <c:varyColors val="0"/>
        <c:ser>
          <c:idx val="0"/>
          <c:order val="0"/>
          <c:spPr>
            <a:ln w="412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'Граничные условия 1 рода (2)'!$F$12:$AJ$12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'Граничные условия 1 рода (2)'!$F$13:$AJ$13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281.85703145486161</c:v>
                </c:pt>
                <c:pt idx="2">
                  <c:v>263.97978520096655</c:v>
                </c:pt>
                <c:pt idx="3">
                  <c:v>246.46998336200608</c:v>
                </c:pt>
                <c:pt idx="4">
                  <c:v>229.44224019799145</c:v>
                </c:pt>
                <c:pt idx="5">
                  <c:v>213.00936875715911</c:v>
                </c:pt>
                <c:pt idx="6">
                  <c:v>197.27646131991426</c:v>
                </c:pt>
                <c:pt idx="7">
                  <c:v>182.338534400882</c:v>
                </c:pt>
                <c:pt idx="8">
                  <c:v>168.27932621130589</c:v>
                </c:pt>
                <c:pt idx="9">
                  <c:v>155.1705335571599</c:v>
                </c:pt>
                <c:pt idx="10">
                  <c:v>143.07131090708694</c:v>
                </c:pt>
                <c:pt idx="11">
                  <c:v>132.02798325078322</c:v>
                </c:pt>
                <c:pt idx="12">
                  <c:v>122.07394956561589</c:v>
                </c:pt>
                <c:pt idx="13">
                  <c:v>113.22975687880185</c:v>
                </c:pt>
                <c:pt idx="14">
                  <c:v>105.50332458466862</c:v>
                </c:pt>
                <c:pt idx="15">
                  <c:v>98.890298578528643</c:v>
                </c:pt>
                <c:pt idx="16">
                  <c:v>93.374515462643046</c:v>
                </c:pt>
                <c:pt idx="17">
                  <c:v>88.928558477693031</c:v>
                </c:pt>
                <c:pt idx="18">
                  <c:v>85.514388700154569</c:v>
                </c:pt>
                <c:pt idx="19">
                  <c:v>83.084037196824937</c:v>
                </c:pt>
                <c:pt idx="20">
                  <c:v>81.580346041842091</c:v>
                </c:pt>
                <c:pt idx="21">
                  <c:v>80.937748217709867</c:v>
                </c:pt>
                <c:pt idx="22">
                  <c:v>81.083078325046273</c:v>
                </c:pt>
                <c:pt idx="23">
                  <c:v>81.936407647716948</c:v>
                </c:pt>
                <c:pt idx="24">
                  <c:v>83.411898434871375</c:v>
                </c:pt>
                <c:pt idx="25">
                  <c:v>85.418673277750756</c:v>
                </c:pt>
                <c:pt idx="26">
                  <c:v>87.861696209569942</c:v>
                </c:pt>
                <c:pt idx="27">
                  <c:v>90.642662686584998</c:v>
                </c:pt>
                <c:pt idx="28">
                  <c:v>93.660895964897279</c:v>
                </c:pt>
                <c:pt idx="29">
                  <c:v>96.814247610852263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F7-48D2-A522-858EC5C5F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082816"/>
        <c:axId val="532078552"/>
      </c:scatterChart>
      <c:valAx>
        <c:axId val="53208281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078552"/>
        <c:crosses val="autoZero"/>
        <c:crossBetween val="midCat"/>
      </c:valAx>
      <c:valAx>
        <c:axId val="5320785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082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24759405074364"/>
          <c:y val="9.2592592592592587E-2"/>
          <c:w val="0.84025240594925632"/>
          <c:h val="0.8000080198308544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'Граничные условия 2 рода (2)'!$E$10:$AI$10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'Граничные условия 2 рода (2)'!$E$11:$AI$11</c:f>
              <c:numCache>
                <c:formatCode>General</c:formatCode>
                <c:ptCount val="31"/>
                <c:pt idx="0">
                  <c:v>299.99999999998852</c:v>
                </c:pt>
                <c:pt idx="1">
                  <c:v>293.33333333332183</c:v>
                </c:pt>
                <c:pt idx="2">
                  <c:v>286.66666666665526</c:v>
                </c:pt>
                <c:pt idx="3">
                  <c:v>279.9999999999888</c:v>
                </c:pt>
                <c:pt idx="4">
                  <c:v>273.33333333332234</c:v>
                </c:pt>
                <c:pt idx="5">
                  <c:v>266.66666666665594</c:v>
                </c:pt>
                <c:pt idx="6">
                  <c:v>259.99999999998954</c:v>
                </c:pt>
                <c:pt idx="7">
                  <c:v>253.33333333332322</c:v>
                </c:pt>
                <c:pt idx="8">
                  <c:v>246.66666666665691</c:v>
                </c:pt>
                <c:pt idx="9">
                  <c:v>239.99999999999062</c:v>
                </c:pt>
                <c:pt idx="10">
                  <c:v>233.33333333332433</c:v>
                </c:pt>
                <c:pt idx="11">
                  <c:v>226.66666666665805</c:v>
                </c:pt>
                <c:pt idx="12">
                  <c:v>219.99999999999176</c:v>
                </c:pt>
                <c:pt idx="13">
                  <c:v>213.33333333332547</c:v>
                </c:pt>
                <c:pt idx="14">
                  <c:v>206.66666666665924</c:v>
                </c:pt>
                <c:pt idx="15">
                  <c:v>199.99999999999301</c:v>
                </c:pt>
                <c:pt idx="16">
                  <c:v>193.33333333332678</c:v>
                </c:pt>
                <c:pt idx="17">
                  <c:v>186.66666666666055</c:v>
                </c:pt>
                <c:pt idx="18">
                  <c:v>179.99999999999426</c:v>
                </c:pt>
                <c:pt idx="19">
                  <c:v>173.33333333332803</c:v>
                </c:pt>
                <c:pt idx="20">
                  <c:v>166.66666666666183</c:v>
                </c:pt>
                <c:pt idx="21">
                  <c:v>159.99999999999562</c:v>
                </c:pt>
                <c:pt idx="22">
                  <c:v>153.33333333332945</c:v>
                </c:pt>
                <c:pt idx="23">
                  <c:v>146.66666666666322</c:v>
                </c:pt>
                <c:pt idx="24">
                  <c:v>139.99999999999702</c:v>
                </c:pt>
                <c:pt idx="25">
                  <c:v>133.33333333333084</c:v>
                </c:pt>
                <c:pt idx="26">
                  <c:v>126.66666666666467</c:v>
                </c:pt>
                <c:pt idx="27">
                  <c:v>119.99999999999848</c:v>
                </c:pt>
                <c:pt idx="28">
                  <c:v>113.33333333333232</c:v>
                </c:pt>
                <c:pt idx="29">
                  <c:v>106.66666666666615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C3-4C79-BEED-7CC7E6B7F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890208"/>
        <c:axId val="543891848"/>
      </c:scatterChart>
      <c:valAx>
        <c:axId val="5438902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;\-0.00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3891848"/>
        <c:crosses val="autoZero"/>
        <c:crossBetween val="midCat"/>
      </c:valAx>
      <c:valAx>
        <c:axId val="54389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389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297180</xdr:colOff>
          <xdr:row>26</xdr:row>
          <xdr:rowOff>0</xdr:rowOff>
        </xdr:from>
        <xdr:to>
          <xdr:col>5</xdr:col>
          <xdr:colOff>403860</xdr:colOff>
          <xdr:row>28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21772</xdr:colOff>
      <xdr:row>23</xdr:row>
      <xdr:rowOff>5442</xdr:rowOff>
    </xdr:from>
    <xdr:to>
      <xdr:col>15</xdr:col>
      <xdr:colOff>293915</xdr:colOff>
      <xdr:row>48</xdr:row>
      <xdr:rowOff>65314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359228</xdr:colOff>
      <xdr:row>47</xdr:row>
      <xdr:rowOff>-1</xdr:rowOff>
    </xdr:from>
    <xdr:ext cx="489857" cy="25037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9329057" y="8697685"/>
              <a:ext cx="489857" cy="25037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9329057" y="8697685"/>
              <a:ext cx="489857" cy="25037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𝑳,(𝒎)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6</xdr:col>
      <xdr:colOff>54428</xdr:colOff>
      <xdr:row>23</xdr:row>
      <xdr:rowOff>97972</xdr:rowOff>
    </xdr:from>
    <xdr:ext cx="558800" cy="279400"/>
    <xdr:sp macro="" textlink="">
      <xdr:nvSpPr>
        <xdr:cNvPr id="6" name="TextBox 5"/>
        <xdr:cNvSpPr txBox="1"/>
      </xdr:nvSpPr>
      <xdr:spPr>
        <a:xfrm>
          <a:off x="3875314" y="4354286"/>
          <a:ext cx="558800" cy="279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22</xdr:row>
          <xdr:rowOff>7620</xdr:rowOff>
        </xdr:from>
        <xdr:to>
          <xdr:col>7</xdr:col>
          <xdr:colOff>0</xdr:colOff>
          <xdr:row>28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7620</xdr:colOff>
      <xdr:row>21</xdr:row>
      <xdr:rowOff>179070</xdr:rowOff>
    </xdr:from>
    <xdr:to>
      <xdr:col>15</xdr:col>
      <xdr:colOff>312420</xdr:colOff>
      <xdr:row>36</xdr:row>
      <xdr:rowOff>179070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358141</xdr:colOff>
      <xdr:row>35</xdr:row>
      <xdr:rowOff>106680</xdr:rowOff>
    </xdr:from>
    <xdr:ext cx="472440" cy="20465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/>
            <xdr:cNvSpPr txBox="1"/>
          </xdr:nvSpPr>
          <xdr:spPr>
            <a:xfrm>
              <a:off x="9342121" y="6507480"/>
              <a:ext cx="472440" cy="20465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6" name="TextBox 5"/>
            <xdr:cNvSpPr txBox="1"/>
          </xdr:nvSpPr>
          <xdr:spPr>
            <a:xfrm>
              <a:off x="9342121" y="6507480"/>
              <a:ext cx="472440" cy="20465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𝑳,(𝒎)</a:t>
              </a:r>
              <a:endParaRPr lang="ru-RU" sz="1100" b="1"/>
            </a:p>
          </xdr:txBody>
        </xdr:sp>
      </mc:Fallback>
    </mc:AlternateContent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0.01111</cdr:x>
      <cdr:y>0.03519</cdr:y>
    </cdr:from>
    <cdr:to>
      <cdr:x>0.09</cdr:x>
      <cdr:y>0.10694</cdr:y>
    </cdr:to>
    <cdr:sp macro="" textlink="">
      <cdr:nvSpPr>
        <cdr:cNvPr id="2" name="TextBox 5"/>
        <cdr:cNvSpPr txBox="1"/>
      </cdr:nvSpPr>
      <cdr:spPr>
        <a:xfrm xmlns:a="http://schemas.openxmlformats.org/drawingml/2006/main">
          <a:off x="50800" y="96520"/>
          <a:ext cx="360680" cy="19685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2;&#1080;&#1093;&#1072;&#1080;&#1083;/Downloads/&#1050;&#1091;&#1079;&#1085;&#1077;&#1094;&#1086;&#1074;&#1052;&#1057;&#1057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У 1ого рода"/>
      <sheetName val="ГУ 2ого рода "/>
    </sheetNames>
    <sheetDataSet>
      <sheetData sheetId="0"/>
      <sheetData sheetId="1">
        <row r="10">
          <cell r="E10">
            <v>0</v>
          </cell>
          <cell r="F10">
            <v>3.3333333333333335E-3</v>
          </cell>
          <cell r="G10">
            <v>6.6666666666666671E-3</v>
          </cell>
          <cell r="H10">
            <v>0.01</v>
          </cell>
          <cell r="I10">
            <v>1.3333333333333334E-2</v>
          </cell>
          <cell r="J10">
            <v>1.6666666666666666E-2</v>
          </cell>
          <cell r="K10">
            <v>0.02</v>
          </cell>
          <cell r="L10">
            <v>2.3333333333333334E-2</v>
          </cell>
          <cell r="M10">
            <v>2.6666666666666668E-2</v>
          </cell>
          <cell r="N10">
            <v>3.0000000000000002E-2</v>
          </cell>
          <cell r="O10">
            <v>3.3333333333333333E-2</v>
          </cell>
          <cell r="P10">
            <v>3.6666666666666667E-2</v>
          </cell>
          <cell r="Q10">
            <v>0.04</v>
          </cell>
          <cell r="R10">
            <v>4.3333333333333335E-2</v>
          </cell>
          <cell r="S10">
            <v>4.6666666666666669E-2</v>
          </cell>
          <cell r="T10">
            <v>0.05</v>
          </cell>
          <cell r="U10">
            <v>5.3333333333333337E-2</v>
          </cell>
          <cell r="V10">
            <v>5.6666666666666671E-2</v>
          </cell>
          <cell r="W10">
            <v>6.0000000000000005E-2</v>
          </cell>
          <cell r="X10">
            <v>6.3333333333333339E-2</v>
          </cell>
          <cell r="Y10">
            <v>6.6666666666666666E-2</v>
          </cell>
          <cell r="Z10">
            <v>6.9999999999999993E-2</v>
          </cell>
          <cell r="AA10">
            <v>7.333333333333332E-2</v>
          </cell>
          <cell r="AB10">
            <v>7.6666666666666647E-2</v>
          </cell>
          <cell r="AC10">
            <v>7.9999999999999974E-2</v>
          </cell>
          <cell r="AD10">
            <v>8.3333333333333301E-2</v>
          </cell>
          <cell r="AE10">
            <v>8.6666666666666628E-2</v>
          </cell>
          <cell r="AF10">
            <v>8.9999999999999955E-2</v>
          </cell>
          <cell r="AG10">
            <v>9.3333333333333282E-2</v>
          </cell>
          <cell r="AH10">
            <v>9.6666666666666609E-2</v>
          </cell>
          <cell r="AI10">
            <v>9.9999999999999936E-2</v>
          </cell>
        </row>
        <row r="11">
          <cell r="E11">
            <v>299.99999939879791</v>
          </cell>
          <cell r="F11">
            <v>293.33333273213123</v>
          </cell>
          <cell r="G11">
            <v>286.66666607031857</v>
          </cell>
          <cell r="H11">
            <v>279.99999940996162</v>
          </cell>
          <cell r="I11">
            <v>273.33333275104491</v>
          </cell>
          <cell r="J11">
            <v>266.66666609354957</v>
          </cell>
          <cell r="K11">
            <v>259.9999994374532</v>
          </cell>
          <cell r="L11">
            <v>253.33333278273</v>
          </cell>
          <cell r="M11">
            <v>246.6666661293508</v>
          </cell>
          <cell r="N11">
            <v>239.99999947728315</v>
          </cell>
          <cell r="O11">
            <v>233.33333282649141</v>
          </cell>
          <cell r="P11">
            <v>226.66666617693684</v>
          </cell>
          <cell r="Q11">
            <v>219.99999952857766</v>
          </cell>
          <cell r="R11">
            <v>213.33333288136919</v>
          </cell>
          <cell r="S11">
            <v>206.66666623526393</v>
          </cell>
          <cell r="T11">
            <v>199.9999995902117</v>
          </cell>
          <cell r="U11">
            <v>193.33333294615974</v>
          </cell>
          <cell r="V11">
            <v>186.66666630305286</v>
          </cell>
          <cell r="W11">
            <v>179.99999966083348</v>
          </cell>
          <cell r="X11">
            <v>173.33333301944202</v>
          </cell>
          <cell r="Y11">
            <v>166.66666637881673</v>
          </cell>
          <cell r="Z11">
            <v>159.99999973889408</v>
          </cell>
          <cell r="AA11">
            <v>153.33333309960878</v>
          </cell>
          <cell r="AB11">
            <v>146.66666646089396</v>
          </cell>
          <cell r="AC11">
            <v>139.99999982268139</v>
          </cell>
          <cell r="AD11">
            <v>133.33333318490162</v>
          </cell>
          <cell r="AE11">
            <v>126.66666654748417</v>
          </cell>
          <cell r="AF11">
            <v>119.99999991035762</v>
          </cell>
          <cell r="AG11">
            <v>113.33333327344991</v>
          </cell>
          <cell r="AH11">
            <v>106.66666663668836</v>
          </cell>
          <cell r="AI11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3:AJ22"/>
  <sheetViews>
    <sheetView tabSelected="1" topLeftCell="A10" zoomScale="70" zoomScaleNormal="70" workbookViewId="0">
      <selection activeCell="T50" sqref="T50"/>
    </sheetView>
  </sheetViews>
  <sheetFormatPr defaultRowHeight="14.4" x14ac:dyDescent="0.3"/>
  <cols>
    <col min="3" max="3" width="11.33203125" customWidth="1"/>
    <col min="7" max="7" width="12.77734375" bestFit="1" customWidth="1"/>
    <col min="35" max="35" width="14.44140625" customWidth="1"/>
  </cols>
  <sheetData>
    <row r="3" spans="1:36" x14ac:dyDescent="0.3">
      <c r="B3" s="1" t="s">
        <v>0</v>
      </c>
      <c r="C3" s="1">
        <v>0.1</v>
      </c>
    </row>
    <row r="4" spans="1:36" x14ac:dyDescent="0.3">
      <c r="B4" s="1" t="s">
        <v>1</v>
      </c>
      <c r="C4" s="3">
        <f>C3/30</f>
        <v>3.3333333333333335E-3</v>
      </c>
    </row>
    <row r="5" spans="1:36" x14ac:dyDescent="0.3">
      <c r="B5" s="1" t="s">
        <v>2</v>
      </c>
      <c r="C5" s="3">
        <v>1</v>
      </c>
    </row>
    <row r="6" spans="1:36" x14ac:dyDescent="0.3">
      <c r="B6" s="1" t="s">
        <v>3</v>
      </c>
      <c r="C6" s="1">
        <v>60</v>
      </c>
      <c r="D6">
        <v>61</v>
      </c>
    </row>
    <row r="7" spans="1:36" x14ac:dyDescent="0.3">
      <c r="A7" s="5"/>
      <c r="B7" s="6"/>
      <c r="C7" s="6"/>
      <c r="D7" s="5"/>
    </row>
    <row r="8" spans="1:36" x14ac:dyDescent="0.3">
      <c r="B8" s="1" t="s">
        <v>4</v>
      </c>
      <c r="C8" s="1">
        <v>460</v>
      </c>
    </row>
    <row r="9" spans="1:36" x14ac:dyDescent="0.3">
      <c r="B9" s="1" t="s">
        <v>5</v>
      </c>
      <c r="C9" s="1">
        <v>7800</v>
      </c>
    </row>
    <row r="10" spans="1:36" x14ac:dyDescent="0.3">
      <c r="B10" s="1" t="s">
        <v>6</v>
      </c>
      <c r="C10" s="1">
        <v>46</v>
      </c>
    </row>
    <row r="11" spans="1:36" x14ac:dyDescent="0.3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3">
      <c r="B12" s="1" t="s">
        <v>8</v>
      </c>
      <c r="C12" s="1">
        <v>300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3">
      <c r="B13" s="1" t="s">
        <v>9</v>
      </c>
      <c r="C13" s="1">
        <v>100</v>
      </c>
      <c r="E13" t="s">
        <v>7</v>
      </c>
      <c r="F13" s="4">
        <f>C12</f>
        <v>300</v>
      </c>
      <c r="G13" s="4">
        <v>281.85703145486161</v>
      </c>
      <c r="H13" s="4">
        <v>263.97978520096655</v>
      </c>
      <c r="I13" s="4">
        <v>246.46998336200608</v>
      </c>
      <c r="J13" s="4">
        <v>229.44224019799145</v>
      </c>
      <c r="K13" s="4">
        <v>213.00936875715911</v>
      </c>
      <c r="L13" s="4">
        <v>197.27646131991426</v>
      </c>
      <c r="M13" s="4">
        <v>182.338534400882</v>
      </c>
      <c r="N13" s="4">
        <v>168.27932621130589</v>
      </c>
      <c r="O13" s="4">
        <v>155.1705335571599</v>
      </c>
      <c r="P13" s="4">
        <v>143.07131090708694</v>
      </c>
      <c r="Q13" s="4">
        <v>132.02798325078322</v>
      </c>
      <c r="R13" s="4">
        <v>122.07394956561589</v>
      </c>
      <c r="S13" s="4">
        <v>113.22975687880185</v>
      </c>
      <c r="T13" s="4">
        <v>105.50332458466862</v>
      </c>
      <c r="U13" s="4">
        <v>98.890298578528643</v>
      </c>
      <c r="V13" s="4">
        <v>93.374515462643046</v>
      </c>
      <c r="W13" s="4">
        <v>88.928558477693031</v>
      </c>
      <c r="X13" s="4">
        <v>85.514388700154569</v>
      </c>
      <c r="Y13" s="4">
        <v>83.084037196824937</v>
      </c>
      <c r="Z13" s="4">
        <v>81.580346041842091</v>
      </c>
      <c r="AA13" s="4">
        <v>80.937748217709867</v>
      </c>
      <c r="AB13" s="4">
        <v>81.083078325046273</v>
      </c>
      <c r="AC13" s="4">
        <v>81.936407647716948</v>
      </c>
      <c r="AD13" s="4">
        <v>83.411898434871375</v>
      </c>
      <c r="AE13" s="4">
        <v>85.418673277750756</v>
      </c>
      <c r="AF13" s="4">
        <v>87.861696209569942</v>
      </c>
      <c r="AG13" s="4">
        <v>90.642662686584998</v>
      </c>
      <c r="AH13" s="4">
        <v>93.660895964897279</v>
      </c>
      <c r="AI13" s="4">
        <v>96.814247610852263</v>
      </c>
      <c r="AJ13" s="4">
        <f>C13</f>
        <v>100</v>
      </c>
    </row>
    <row r="15" spans="1:36" x14ac:dyDescent="0.3">
      <c r="E15" t="s">
        <v>10</v>
      </c>
      <c r="F15">
        <v>300</v>
      </c>
      <c r="G15" s="4">
        <f t="shared" ref="G15:AH15" si="1">H13*G17+G18</f>
        <v>281.94972527738832</v>
      </c>
      <c r="H15" s="4">
        <f t="shared" si="1"/>
        <v>264.16253714872676</v>
      </c>
      <c r="I15" s="4">
        <f t="shared" si="1"/>
        <v>246.73919204543643</v>
      </c>
      <c r="J15" s="4">
        <f t="shared" si="1"/>
        <v>229.79324608373793</v>
      </c>
      <c r="K15" s="4">
        <f t="shared" si="1"/>
        <v>213.43651455955052</v>
      </c>
      <c r="L15" s="4">
        <f t="shared" si="1"/>
        <v>197.77321286795939</v>
      </c>
      <c r="M15" s="4">
        <f t="shared" si="1"/>
        <v>182.89762282190466</v>
      </c>
      <c r="N15" s="4">
        <f t="shared" si="1"/>
        <v>168.8928968378801</v>
      </c>
      <c r="O15" s="4">
        <f t="shared" si="1"/>
        <v>155.83029453019719</v>
      </c>
      <c r="P15" s="4">
        <f t="shared" si="1"/>
        <v>143.76867680443874</v>
      </c>
      <c r="Q15" s="4">
        <f t="shared" si="1"/>
        <v>132.75421024484078</v>
      </c>
      <c r="R15" s="4">
        <f t="shared" si="1"/>
        <v>122.82025957394944</v>
      </c>
      <c r="S15" s="4">
        <f t="shared" si="1"/>
        <v>113.98744907901815</v>
      </c>
      <c r="T15" s="4">
        <f t="shared" si="1"/>
        <v>106.26387350473564</v>
      </c>
      <c r="U15" s="4">
        <f t="shared" si="1"/>
        <v>99.645438708224603</v>
      </c>
      <c r="V15" s="4">
        <f t="shared" si="1"/>
        <v>94.116312929447147</v>
      </c>
      <c r="W15" s="4">
        <f t="shared" si="1"/>
        <v>89.649470774472007</v>
      </c>
      <c r="X15" s="4">
        <f t="shared" si="1"/>
        <v>86.207313740152273</v>
      </c>
      <c r="Y15" s="4">
        <f t="shared" si="1"/>
        <v>83.742353114364931</v>
      </c>
      <c r="Z15" s="4">
        <f t="shared" si="1"/>
        <v>82.197943175448899</v>
      </c>
      <c r="AA15" s="4">
        <f t="shared" si="1"/>
        <v>81.509054633227976</v>
      </c>
      <c r="AB15" s="4">
        <f t="shared" si="1"/>
        <v>81.603080089849499</v>
      </c>
      <c r="AC15" s="4">
        <f t="shared" si="1"/>
        <v>82.400664882735029</v>
      </c>
      <c r="AD15" s="4">
        <f t="shared" si="1"/>
        <v>83.816557974887587</v>
      </c>
      <c r="AE15" s="4">
        <f t="shared" si="1"/>
        <v>85.760478582556829</v>
      </c>
      <c r="AF15" s="4">
        <f t="shared" si="1"/>
        <v>88.137995002524093</v>
      </c>
      <c r="AG15" s="4">
        <f t="shared" si="1"/>
        <v>90.851412659158015</v>
      </c>
      <c r="AH15" s="4">
        <f t="shared" si="1"/>
        <v>93.800668775600059</v>
      </c>
      <c r="AI15" s="4">
        <f>AJ13*AI17+AI18</f>
        <v>96.884231318981847</v>
      </c>
      <c r="AJ15" s="4">
        <f>AJ13</f>
        <v>100</v>
      </c>
    </row>
    <row r="16" spans="1:36" x14ac:dyDescent="0.3">
      <c r="E16" t="s">
        <v>16</v>
      </c>
      <c r="G16">
        <f>-($C$9*$C$8/$C$5)*G13</f>
        <v>-1011303028.8600434</v>
      </c>
      <c r="H16">
        <f t="shared" ref="H16:AI16" si="2">-($C$9*$C$8/$C$5)*H13</f>
        <v>-947159469.30106795</v>
      </c>
      <c r="I16">
        <f t="shared" si="2"/>
        <v>-884334300.30287778</v>
      </c>
      <c r="J16">
        <f t="shared" si="2"/>
        <v>-823238757.83039331</v>
      </c>
      <c r="K16">
        <f t="shared" si="2"/>
        <v>-764277615.10068691</v>
      </c>
      <c r="L16">
        <f t="shared" si="2"/>
        <v>-707827943.21585238</v>
      </c>
      <c r="M16">
        <f t="shared" si="2"/>
        <v>-654230661.43036461</v>
      </c>
      <c r="N16">
        <f t="shared" si="2"/>
        <v>-603786222.44616556</v>
      </c>
      <c r="O16">
        <f t="shared" si="2"/>
        <v>-556751874.40308976</v>
      </c>
      <c r="P16">
        <f t="shared" si="2"/>
        <v>-513339863.53462791</v>
      </c>
      <c r="Q16">
        <f t="shared" si="2"/>
        <v>-473716403.9038102</v>
      </c>
      <c r="R16">
        <f t="shared" si="2"/>
        <v>-438001331.04142982</v>
      </c>
      <c r="S16">
        <f t="shared" si="2"/>
        <v>-406268367.68114102</v>
      </c>
      <c r="T16">
        <f t="shared" si="2"/>
        <v>-378545928.60979098</v>
      </c>
      <c r="U16">
        <f t="shared" si="2"/>
        <v>-354818391.29976076</v>
      </c>
      <c r="V16">
        <f t="shared" si="2"/>
        <v>-335027761.47996324</v>
      </c>
      <c r="W16">
        <f t="shared" si="2"/>
        <v>-319075667.81796259</v>
      </c>
      <c r="X16">
        <f t="shared" si="2"/>
        <v>-306825626.65615457</v>
      </c>
      <c r="Y16">
        <f t="shared" si="2"/>
        <v>-298105525.46220785</v>
      </c>
      <c r="Z16">
        <f t="shared" si="2"/>
        <v>-292710281.59812945</v>
      </c>
      <c r="AA16">
        <f t="shared" si="2"/>
        <v>-290404640.60514301</v>
      </c>
      <c r="AB16">
        <f t="shared" si="2"/>
        <v>-290926085.03026605</v>
      </c>
      <c r="AC16">
        <f t="shared" si="2"/>
        <v>-293987830.64000839</v>
      </c>
      <c r="AD16">
        <f t="shared" si="2"/>
        <v>-299281891.58431852</v>
      </c>
      <c r="AE16">
        <f t="shared" si="2"/>
        <v>-306482199.72056973</v>
      </c>
      <c r="AF16">
        <f t="shared" si="2"/>
        <v>-315247765.99993694</v>
      </c>
      <c r="AG16">
        <f t="shared" si="2"/>
        <v>-325225873.71946698</v>
      </c>
      <c r="AH16">
        <f t="shared" si="2"/>
        <v>-336055294.72205144</v>
      </c>
      <c r="AI16">
        <f t="shared" si="2"/>
        <v>-347369520.42773789</v>
      </c>
    </row>
    <row r="17" spans="2:35" x14ac:dyDescent="0.3">
      <c r="E17" s="7" t="s">
        <v>17</v>
      </c>
      <c r="F17">
        <v>0</v>
      </c>
      <c r="G17">
        <f>$B$22/($C$22-$D$22*F17)</f>
        <v>0.34883720930232553</v>
      </c>
      <c r="H17">
        <f t="shared" ref="H17:AI17" si="3">$B$22/($C$22-$D$22*G17)</f>
        <v>0.39716748768472904</v>
      </c>
      <c r="I17">
        <f t="shared" si="3"/>
        <v>0.40494040593779607</v>
      </c>
      <c r="J17">
        <f t="shared" si="3"/>
        <v>0.4062190081621499</v>
      </c>
      <c r="K17">
        <f t="shared" si="3"/>
        <v>0.40643010492156101</v>
      </c>
      <c r="L17">
        <f t="shared" si="3"/>
        <v>0.40646497802255066</v>
      </c>
      <c r="M17">
        <f t="shared" si="3"/>
        <v>0.40647073962099717</v>
      </c>
      <c r="N17">
        <f t="shared" si="3"/>
        <v>0.40647169154566137</v>
      </c>
      <c r="O17">
        <f t="shared" si="3"/>
        <v>0.40647184882198806</v>
      </c>
      <c r="P17">
        <f t="shared" si="3"/>
        <v>0.40647187480708435</v>
      </c>
      <c r="Q17">
        <f t="shared" si="3"/>
        <v>0.40647187910032606</v>
      </c>
      <c r="R17">
        <f t="shared" si="3"/>
        <v>0.40647187980965277</v>
      </c>
      <c r="S17">
        <f t="shared" si="3"/>
        <v>0.4064718799268473</v>
      </c>
      <c r="T17">
        <f t="shared" si="3"/>
        <v>0.40647187994621015</v>
      </c>
      <c r="U17">
        <f t="shared" si="3"/>
        <v>0.40647187994940925</v>
      </c>
      <c r="V17">
        <f t="shared" si="3"/>
        <v>0.40647187994993778</v>
      </c>
      <c r="W17">
        <f t="shared" si="3"/>
        <v>0.40647187995002515</v>
      </c>
      <c r="X17">
        <f t="shared" si="3"/>
        <v>0.40647187995003953</v>
      </c>
      <c r="Y17">
        <f t="shared" si="3"/>
        <v>0.40647187995004191</v>
      </c>
      <c r="Z17">
        <f t="shared" si="3"/>
        <v>0.40647187995004236</v>
      </c>
      <c r="AA17">
        <f t="shared" si="3"/>
        <v>0.40647187995004236</v>
      </c>
      <c r="AB17">
        <f t="shared" si="3"/>
        <v>0.40647187995004236</v>
      </c>
      <c r="AC17">
        <f t="shared" si="3"/>
        <v>0.40647187995004236</v>
      </c>
      <c r="AD17">
        <f t="shared" si="3"/>
        <v>0.40647187995004236</v>
      </c>
      <c r="AE17">
        <f t="shared" si="3"/>
        <v>0.40647187995004236</v>
      </c>
      <c r="AF17">
        <f t="shared" si="3"/>
        <v>0.40647187995004236</v>
      </c>
      <c r="AG17">
        <f t="shared" si="3"/>
        <v>0.40647187995004236</v>
      </c>
      <c r="AH17">
        <f t="shared" si="3"/>
        <v>0.40647187995004236</v>
      </c>
      <c r="AI17">
        <f t="shared" si="3"/>
        <v>0.40647187995004236</v>
      </c>
    </row>
    <row r="18" spans="2:35" x14ac:dyDescent="0.3">
      <c r="E18" s="7" t="s">
        <v>18</v>
      </c>
      <c r="F18">
        <v>300</v>
      </c>
      <c r="G18">
        <f>(F18*$D$22-G16)/($C$22-$D$22*F17)</f>
        <v>189.86375369565584</v>
      </c>
      <c r="H18">
        <f t="shared" ref="H18:AI18" si="4">(G18*$D$22-H16)/($C$22-$D$22*G17)</f>
        <v>166.27267306714182</v>
      </c>
      <c r="I18">
        <f t="shared" si="4"/>
        <v>153.82875816038444</v>
      </c>
      <c r="J18">
        <f t="shared" si="4"/>
        <v>143.26479157795913</v>
      </c>
      <c r="K18">
        <f t="shared" si="4"/>
        <v>133.2574216867435</v>
      </c>
      <c r="L18">
        <f t="shared" si="4"/>
        <v>123.65898449004078</v>
      </c>
      <c r="M18">
        <f t="shared" si="4"/>
        <v>114.4970006338721</v>
      </c>
      <c r="N18">
        <f t="shared" si="4"/>
        <v>105.82046758485851</v>
      </c>
      <c r="O18">
        <f t="shared" si="4"/>
        <v>97.675834272408082</v>
      </c>
      <c r="P18">
        <f t="shared" si="4"/>
        <v>90.103014925494548</v>
      </c>
      <c r="Q18">
        <f t="shared" si="4"/>
        <v>83.134582575706446</v>
      </c>
      <c r="R18">
        <f t="shared" si="4"/>
        <v>76.795547445032895</v>
      </c>
      <c r="S18">
        <f t="shared" si="4"/>
        <v>71.103314396555518</v>
      </c>
      <c r="T18">
        <f t="shared" si="4"/>
        <v>66.067747933079076</v>
      </c>
      <c r="U18">
        <f t="shared" si="4"/>
        <v>61.6913238687589</v>
      </c>
      <c r="V18">
        <f t="shared" si="4"/>
        <v>57.969354583781282</v>
      </c>
      <c r="W18">
        <f t="shared" si="4"/>
        <v>54.890276436742994</v>
      </c>
      <c r="X18">
        <f t="shared" si="4"/>
        <v>52.435988946919835</v>
      </c>
      <c r="Y18">
        <f t="shared" si="4"/>
        <v>50.582236491762416</v>
      </c>
      <c r="Z18">
        <f t="shared" si="4"/>
        <v>49.299024498473187</v>
      </c>
      <c r="AA18">
        <f t="shared" si="4"/>
        <v>48.551063354309889</v>
      </c>
      <c r="AB18">
        <f t="shared" si="4"/>
        <v>48.298234436928972</v>
      </c>
      <c r="AC18">
        <f t="shared" si="4"/>
        <v>48.496073715710864</v>
      </c>
      <c r="AD18">
        <f t="shared" si="4"/>
        <v>49.096269264841787</v>
      </c>
      <c r="AE18">
        <f t="shared" si="4"/>
        <v>50.047169748653424</v>
      </c>
      <c r="AF18">
        <f t="shared" si="4"/>
        <v>51.294301496630339</v>
      </c>
      <c r="AG18">
        <f t="shared" si="4"/>
        <v>52.780892198500879</v>
      </c>
      <c r="AH18">
        <f t="shared" si="4"/>
        <v>54.448399543268039</v>
      </c>
      <c r="AI18">
        <f t="shared" si="4"/>
        <v>56.237043323977609</v>
      </c>
    </row>
    <row r="19" spans="2:35" x14ac:dyDescent="0.3">
      <c r="E19" s="7" t="s">
        <v>19</v>
      </c>
      <c r="G19">
        <f t="shared" ref="G19:AH19" si="5">H13*G17+G18</f>
        <v>281.94972527738832</v>
      </c>
      <c r="H19">
        <f t="shared" si="5"/>
        <v>264.16253714872676</v>
      </c>
      <c r="I19">
        <f t="shared" si="5"/>
        <v>246.73919204543643</v>
      </c>
      <c r="J19">
        <f t="shared" si="5"/>
        <v>229.79324608373793</v>
      </c>
      <c r="K19">
        <f t="shared" si="5"/>
        <v>213.43651455955052</v>
      </c>
      <c r="L19">
        <f t="shared" si="5"/>
        <v>197.77321286795939</v>
      </c>
      <c r="M19">
        <f t="shared" si="5"/>
        <v>182.89762282190466</v>
      </c>
      <c r="N19">
        <f t="shared" si="5"/>
        <v>168.8928968378801</v>
      </c>
      <c r="O19">
        <f t="shared" si="5"/>
        <v>155.83029453019719</v>
      </c>
      <c r="P19">
        <f t="shared" si="5"/>
        <v>143.76867680443874</v>
      </c>
      <c r="Q19">
        <f t="shared" si="5"/>
        <v>132.75421024484078</v>
      </c>
      <c r="R19">
        <f t="shared" si="5"/>
        <v>122.82025957394944</v>
      </c>
      <c r="S19">
        <f t="shared" si="5"/>
        <v>113.98744907901815</v>
      </c>
      <c r="T19">
        <f t="shared" si="5"/>
        <v>106.26387350473564</v>
      </c>
      <c r="U19">
        <f t="shared" si="5"/>
        <v>99.645438708224603</v>
      </c>
      <c r="V19">
        <f t="shared" si="5"/>
        <v>94.116312929447147</v>
      </c>
      <c r="W19">
        <f t="shared" si="5"/>
        <v>89.649470774472007</v>
      </c>
      <c r="X19">
        <f t="shared" si="5"/>
        <v>86.207313740152273</v>
      </c>
      <c r="Y19">
        <f t="shared" si="5"/>
        <v>83.742353114364931</v>
      </c>
      <c r="Z19">
        <f t="shared" si="5"/>
        <v>82.197943175448899</v>
      </c>
      <c r="AA19">
        <f t="shared" si="5"/>
        <v>81.509054633227976</v>
      </c>
      <c r="AB19">
        <f t="shared" si="5"/>
        <v>81.603080089849499</v>
      </c>
      <c r="AC19">
        <f t="shared" si="5"/>
        <v>82.400664882735029</v>
      </c>
      <c r="AD19">
        <f t="shared" si="5"/>
        <v>83.816557974887587</v>
      </c>
      <c r="AE19">
        <f t="shared" si="5"/>
        <v>85.760478582556829</v>
      </c>
      <c r="AF19">
        <f t="shared" si="5"/>
        <v>88.137995002524093</v>
      </c>
      <c r="AG19">
        <f t="shared" si="5"/>
        <v>90.851412659158015</v>
      </c>
      <c r="AH19">
        <f t="shared" si="5"/>
        <v>93.800668775600059</v>
      </c>
      <c r="AI19">
        <f>AJ13*AI17+AI18</f>
        <v>96.884231318981847</v>
      </c>
    </row>
    <row r="21" spans="2:35" x14ac:dyDescent="0.3">
      <c r="B21" t="s">
        <v>13</v>
      </c>
      <c r="C21" t="s">
        <v>14</v>
      </c>
      <c r="D21" t="s">
        <v>15</v>
      </c>
    </row>
    <row r="22" spans="2:35" x14ac:dyDescent="0.3">
      <c r="B22">
        <f>C10/((C4)^2)</f>
        <v>4139999.9999999991</v>
      </c>
      <c r="C22">
        <f>((2*C10)/(C4^2))+((C9*C8)/C5)</f>
        <v>11867999.999999998</v>
      </c>
      <c r="D22">
        <f>B22</f>
        <v>4139999.9999999991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terat">
                <anchor moveWithCells="1" sizeWithCells="1">
                  <from>
                    <xdr:col>3</xdr:col>
                    <xdr:colOff>297180</xdr:colOff>
                    <xdr:row>26</xdr:row>
                    <xdr:rowOff>0</xdr:rowOff>
                  </from>
                  <to>
                    <xdr:col>5</xdr:col>
                    <xdr:colOff>403860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I17"/>
  <sheetViews>
    <sheetView topLeftCell="A6" workbookViewId="0">
      <selection activeCell="H35" sqref="H35"/>
    </sheetView>
  </sheetViews>
  <sheetFormatPr defaultRowHeight="14.4" x14ac:dyDescent="0.3"/>
  <cols>
    <col min="2" max="2" width="15.44140625" customWidth="1"/>
  </cols>
  <sheetData>
    <row r="1" spans="1:35" x14ac:dyDescent="0.3">
      <c r="A1" s="8" t="s">
        <v>0</v>
      </c>
      <c r="B1" s="9">
        <v>0.1</v>
      </c>
    </row>
    <row r="2" spans="1:35" x14ac:dyDescent="0.3">
      <c r="A2" s="8" t="s">
        <v>1</v>
      </c>
      <c r="B2" s="9">
        <f>B1/30</f>
        <v>3.3333333333333335E-3</v>
      </c>
    </row>
    <row r="3" spans="1:35" x14ac:dyDescent="0.3">
      <c r="A3" s="8" t="s">
        <v>2</v>
      </c>
      <c r="B3" s="9">
        <v>2</v>
      </c>
    </row>
    <row r="4" spans="1:35" x14ac:dyDescent="0.3">
      <c r="A4" s="8" t="s">
        <v>3</v>
      </c>
      <c r="B4" s="9">
        <v>5000</v>
      </c>
      <c r="C4">
        <v>5002</v>
      </c>
    </row>
    <row r="5" spans="1:35" x14ac:dyDescent="0.3">
      <c r="B5" s="10"/>
    </row>
    <row r="6" spans="1:35" x14ac:dyDescent="0.3">
      <c r="A6" s="8" t="s">
        <v>4</v>
      </c>
      <c r="B6" s="11">
        <v>460</v>
      </c>
    </row>
    <row r="7" spans="1:35" x14ac:dyDescent="0.3">
      <c r="A7" s="8" t="s">
        <v>5</v>
      </c>
      <c r="B7" s="11">
        <v>7800</v>
      </c>
    </row>
    <row r="8" spans="1:35" x14ac:dyDescent="0.3">
      <c r="A8" s="8" t="s">
        <v>6</v>
      </c>
      <c r="B8" s="11">
        <v>46</v>
      </c>
    </row>
    <row r="9" spans="1:35" x14ac:dyDescent="0.3">
      <c r="B9" s="10"/>
      <c r="E9" s="8">
        <v>1</v>
      </c>
      <c r="F9" s="8">
        <v>2</v>
      </c>
      <c r="G9" s="8">
        <v>3</v>
      </c>
      <c r="H9" s="8">
        <v>4</v>
      </c>
      <c r="I9" s="8">
        <v>5</v>
      </c>
      <c r="J9" s="8">
        <v>6</v>
      </c>
      <c r="K9" s="8">
        <v>7</v>
      </c>
      <c r="L9" s="8">
        <v>8</v>
      </c>
      <c r="M9" s="8">
        <v>9</v>
      </c>
      <c r="N9" s="8">
        <v>10</v>
      </c>
      <c r="O9" s="8">
        <v>11</v>
      </c>
      <c r="P9" s="8">
        <v>12</v>
      </c>
      <c r="Q9" s="8">
        <v>13</v>
      </c>
      <c r="R9" s="8">
        <v>14</v>
      </c>
      <c r="S9" s="8">
        <v>15</v>
      </c>
      <c r="T9" s="8">
        <v>16</v>
      </c>
      <c r="U9" s="8">
        <v>17</v>
      </c>
      <c r="V9" s="8">
        <v>18</v>
      </c>
      <c r="W9" s="8">
        <v>19</v>
      </c>
      <c r="X9" s="8">
        <v>20</v>
      </c>
      <c r="Y9" s="8">
        <v>21</v>
      </c>
      <c r="Z9" s="8">
        <v>22</v>
      </c>
      <c r="AA9" s="8">
        <v>23</v>
      </c>
      <c r="AB9" s="8">
        <v>24</v>
      </c>
      <c r="AC9" s="8">
        <v>25</v>
      </c>
      <c r="AD9" s="8">
        <v>26</v>
      </c>
      <c r="AE9" s="8">
        <v>27</v>
      </c>
      <c r="AF9" s="8">
        <v>28</v>
      </c>
      <c r="AG9" s="8">
        <v>29</v>
      </c>
      <c r="AH9" s="8">
        <v>30</v>
      </c>
      <c r="AI9" s="8">
        <v>31</v>
      </c>
    </row>
    <row r="10" spans="1:35" x14ac:dyDescent="0.3">
      <c r="A10" s="8" t="s">
        <v>20</v>
      </c>
      <c r="B10" s="9">
        <v>300</v>
      </c>
      <c r="D10" t="s">
        <v>0</v>
      </c>
      <c r="E10" s="12">
        <v>0</v>
      </c>
      <c r="F10" s="12">
        <f t="shared" ref="F10:AI10" si="0">E10+$B$2</f>
        <v>3.3333333333333335E-3</v>
      </c>
      <c r="G10" s="12">
        <f t="shared" si="0"/>
        <v>6.6666666666666671E-3</v>
      </c>
      <c r="H10" s="12">
        <f t="shared" si="0"/>
        <v>0.01</v>
      </c>
      <c r="I10" s="12">
        <f t="shared" si="0"/>
        <v>1.3333333333333334E-2</v>
      </c>
      <c r="J10" s="12">
        <f t="shared" si="0"/>
        <v>1.6666666666666666E-2</v>
      </c>
      <c r="K10" s="12">
        <f t="shared" si="0"/>
        <v>0.02</v>
      </c>
      <c r="L10" s="12">
        <f t="shared" si="0"/>
        <v>2.3333333333333334E-2</v>
      </c>
      <c r="M10" s="12">
        <f t="shared" si="0"/>
        <v>2.6666666666666668E-2</v>
      </c>
      <c r="N10" s="12">
        <f t="shared" si="0"/>
        <v>3.0000000000000002E-2</v>
      </c>
      <c r="O10" s="12">
        <f t="shared" si="0"/>
        <v>3.3333333333333333E-2</v>
      </c>
      <c r="P10" s="12">
        <f t="shared" si="0"/>
        <v>3.6666666666666667E-2</v>
      </c>
      <c r="Q10" s="12">
        <f t="shared" si="0"/>
        <v>0.04</v>
      </c>
      <c r="R10" s="12">
        <f t="shared" si="0"/>
        <v>4.3333333333333335E-2</v>
      </c>
      <c r="S10" s="12">
        <f t="shared" si="0"/>
        <v>4.6666666666666669E-2</v>
      </c>
      <c r="T10" s="12">
        <f t="shared" si="0"/>
        <v>0.05</v>
      </c>
      <c r="U10" s="12">
        <f t="shared" si="0"/>
        <v>5.3333333333333337E-2</v>
      </c>
      <c r="V10" s="12">
        <f t="shared" si="0"/>
        <v>5.6666666666666671E-2</v>
      </c>
      <c r="W10" s="12">
        <f t="shared" si="0"/>
        <v>6.0000000000000005E-2</v>
      </c>
      <c r="X10" s="12">
        <f t="shared" si="0"/>
        <v>6.3333333333333339E-2</v>
      </c>
      <c r="Y10" s="12">
        <f t="shared" si="0"/>
        <v>6.6666666666666666E-2</v>
      </c>
      <c r="Z10" s="12">
        <f t="shared" si="0"/>
        <v>6.9999999999999993E-2</v>
      </c>
      <c r="AA10" s="12">
        <f t="shared" si="0"/>
        <v>7.333333333333332E-2</v>
      </c>
      <c r="AB10" s="12">
        <f t="shared" si="0"/>
        <v>7.6666666666666647E-2</v>
      </c>
      <c r="AC10" s="12">
        <f t="shared" si="0"/>
        <v>7.9999999999999974E-2</v>
      </c>
      <c r="AD10" s="12">
        <f t="shared" si="0"/>
        <v>8.3333333333333301E-2</v>
      </c>
      <c r="AE10" s="12">
        <f t="shared" si="0"/>
        <v>8.6666666666666628E-2</v>
      </c>
      <c r="AF10" s="12">
        <f t="shared" si="0"/>
        <v>8.9999999999999955E-2</v>
      </c>
      <c r="AG10" s="12">
        <f t="shared" si="0"/>
        <v>9.3333333333333282E-2</v>
      </c>
      <c r="AH10" s="12">
        <f t="shared" si="0"/>
        <v>9.6666666666666609E-2</v>
      </c>
      <c r="AI10" s="12">
        <f t="shared" si="0"/>
        <v>9.9999999999999936E-2</v>
      </c>
    </row>
    <row r="11" spans="1:35" x14ac:dyDescent="0.3">
      <c r="A11" s="8" t="s">
        <v>21</v>
      </c>
      <c r="B11" s="9">
        <v>100</v>
      </c>
      <c r="D11" t="s">
        <v>7</v>
      </c>
      <c r="E11">
        <f>E14/B8*B2+F11</f>
        <v>299.99999999998852</v>
      </c>
      <c r="F11">
        <v>293.33333333332183</v>
      </c>
      <c r="G11">
        <v>286.66666666665526</v>
      </c>
      <c r="H11">
        <v>279.9999999999888</v>
      </c>
      <c r="I11">
        <v>273.33333333332234</v>
      </c>
      <c r="J11">
        <v>266.66666666665594</v>
      </c>
      <c r="K11">
        <v>259.99999999998954</v>
      </c>
      <c r="L11">
        <v>253.33333333332322</v>
      </c>
      <c r="M11">
        <v>246.66666666665691</v>
      </c>
      <c r="N11">
        <v>239.99999999999062</v>
      </c>
      <c r="O11">
        <v>233.33333333332433</v>
      </c>
      <c r="P11">
        <v>226.66666666665805</v>
      </c>
      <c r="Q11">
        <v>219.99999999999176</v>
      </c>
      <c r="R11">
        <v>213.33333333332547</v>
      </c>
      <c r="S11">
        <v>206.66666666665924</v>
      </c>
      <c r="T11">
        <v>199.99999999999301</v>
      </c>
      <c r="U11">
        <v>193.33333333332678</v>
      </c>
      <c r="V11">
        <v>186.66666666666055</v>
      </c>
      <c r="W11">
        <v>179.99999999999426</v>
      </c>
      <c r="X11">
        <v>173.33333333332803</v>
      </c>
      <c r="Y11">
        <v>166.66666666666183</v>
      </c>
      <c r="Z11">
        <v>159.99999999999562</v>
      </c>
      <c r="AA11">
        <v>153.33333333332945</v>
      </c>
      <c r="AB11">
        <v>146.66666666666322</v>
      </c>
      <c r="AC11">
        <v>139.99999999999702</v>
      </c>
      <c r="AD11">
        <v>133.33333333333084</v>
      </c>
      <c r="AE11">
        <v>126.66666666666467</v>
      </c>
      <c r="AF11">
        <v>119.99999999999848</v>
      </c>
      <c r="AG11">
        <v>113.33333333333232</v>
      </c>
      <c r="AH11">
        <v>106.66666666666615</v>
      </c>
      <c r="AI11">
        <v>100</v>
      </c>
    </row>
    <row r="12" spans="1:35" x14ac:dyDescent="0.3">
      <c r="A12" s="13" t="s">
        <v>22</v>
      </c>
      <c r="B12" s="8">
        <f>$B$8/($B$2^2)</f>
        <v>4139999.9999999991</v>
      </c>
    </row>
    <row r="13" spans="1:35" x14ac:dyDescent="0.3">
      <c r="A13" s="13" t="s">
        <v>23</v>
      </c>
      <c r="B13" s="8">
        <f>(2*$B$8)/($B$2^2)+($B$7*$B$6)/$B$3</f>
        <v>10073999.999999998</v>
      </c>
      <c r="D13" t="s">
        <v>24</v>
      </c>
      <c r="F13">
        <f>F16*G13+F17</f>
        <v>293.33333333332183</v>
      </c>
      <c r="G13">
        <f t="shared" ref="G13:AH13" si="1">G16*H13+G17</f>
        <v>286.66666666665526</v>
      </c>
      <c r="H13">
        <f t="shared" si="1"/>
        <v>279.9999999999888</v>
      </c>
      <c r="I13">
        <f t="shared" si="1"/>
        <v>273.33333333332234</v>
      </c>
      <c r="J13">
        <f t="shared" si="1"/>
        <v>266.66666666665594</v>
      </c>
      <c r="K13">
        <f t="shared" si="1"/>
        <v>259.99999999998954</v>
      </c>
      <c r="L13">
        <f t="shared" si="1"/>
        <v>253.33333333332322</v>
      </c>
      <c r="M13">
        <f t="shared" si="1"/>
        <v>246.66666666665691</v>
      </c>
      <c r="N13">
        <f t="shared" si="1"/>
        <v>239.99999999999062</v>
      </c>
      <c r="O13">
        <f t="shared" si="1"/>
        <v>233.33333333332433</v>
      </c>
      <c r="P13">
        <f t="shared" si="1"/>
        <v>226.66666666665805</v>
      </c>
      <c r="Q13">
        <f t="shared" si="1"/>
        <v>219.99999999999176</v>
      </c>
      <c r="R13">
        <f t="shared" si="1"/>
        <v>213.33333333332547</v>
      </c>
      <c r="S13">
        <f t="shared" si="1"/>
        <v>206.66666666665924</v>
      </c>
      <c r="T13">
        <f t="shared" si="1"/>
        <v>199.99999999999301</v>
      </c>
      <c r="U13">
        <f t="shared" si="1"/>
        <v>193.33333333332678</v>
      </c>
      <c r="V13">
        <f t="shared" si="1"/>
        <v>186.66666666666055</v>
      </c>
      <c r="W13">
        <f t="shared" si="1"/>
        <v>179.99999999999426</v>
      </c>
      <c r="X13">
        <f t="shared" si="1"/>
        <v>173.33333333332803</v>
      </c>
      <c r="Y13">
        <f t="shared" si="1"/>
        <v>166.66666666666183</v>
      </c>
      <c r="Z13">
        <f t="shared" si="1"/>
        <v>159.99999999999562</v>
      </c>
      <c r="AA13">
        <f t="shared" si="1"/>
        <v>153.33333333332945</v>
      </c>
      <c r="AB13">
        <f t="shared" si="1"/>
        <v>146.66666666666322</v>
      </c>
      <c r="AC13">
        <f t="shared" si="1"/>
        <v>139.99999999999702</v>
      </c>
      <c r="AD13">
        <f t="shared" si="1"/>
        <v>133.33333333333084</v>
      </c>
      <c r="AE13">
        <f t="shared" si="1"/>
        <v>126.66666666666467</v>
      </c>
      <c r="AF13">
        <f t="shared" si="1"/>
        <v>119.99999999999848</v>
      </c>
      <c r="AG13">
        <f t="shared" si="1"/>
        <v>113.33333333333232</v>
      </c>
      <c r="AH13">
        <f t="shared" si="1"/>
        <v>106.66666666666615</v>
      </c>
      <c r="AI13">
        <v>100</v>
      </c>
    </row>
    <row r="14" spans="1:35" x14ac:dyDescent="0.3">
      <c r="A14" s="13" t="s">
        <v>25</v>
      </c>
      <c r="B14" s="8">
        <f>$B$8/($B$2^2)</f>
        <v>4139999.9999999991</v>
      </c>
      <c r="D14" t="s">
        <v>11</v>
      </c>
      <c r="E14">
        <v>92000</v>
      </c>
      <c r="F14" s="14">
        <f t="shared" ref="F14:AH14" si="2">-$B$8*(F11-E11)/$B$2</f>
        <v>92000.000000000262</v>
      </c>
      <c r="G14" s="14">
        <f t="shared" si="2"/>
        <v>91999.99999999869</v>
      </c>
      <c r="H14" s="14">
        <f t="shared" si="2"/>
        <v>91999.999999997119</v>
      </c>
      <c r="I14" s="14">
        <f t="shared" si="2"/>
        <v>91999.999999997119</v>
      </c>
      <c r="J14" s="14">
        <f t="shared" si="2"/>
        <v>91999.999999996333</v>
      </c>
      <c r="K14" s="14">
        <f t="shared" si="2"/>
        <v>91999.999999996333</v>
      </c>
      <c r="L14" s="14">
        <f t="shared" si="2"/>
        <v>91999.999999995154</v>
      </c>
      <c r="M14" s="14">
        <f t="shared" si="2"/>
        <v>91999.999999995154</v>
      </c>
      <c r="N14" s="14">
        <f t="shared" si="2"/>
        <v>91999.999999994761</v>
      </c>
      <c r="O14" s="14">
        <f t="shared" si="2"/>
        <v>91999.999999994761</v>
      </c>
      <c r="P14" s="14">
        <f t="shared" si="2"/>
        <v>91999.999999994761</v>
      </c>
      <c r="Q14" s="14">
        <f t="shared" si="2"/>
        <v>91999.999999994761</v>
      </c>
      <c r="R14" s="14">
        <f t="shared" si="2"/>
        <v>91999.999999994761</v>
      </c>
      <c r="S14" s="14">
        <f t="shared" si="2"/>
        <v>91999.999999993976</v>
      </c>
      <c r="T14" s="14">
        <f t="shared" si="2"/>
        <v>91999.999999993976</v>
      </c>
      <c r="U14" s="14">
        <f t="shared" si="2"/>
        <v>91999.999999993976</v>
      </c>
      <c r="V14" s="14">
        <f t="shared" si="2"/>
        <v>91999.999999993976</v>
      </c>
      <c r="W14" s="14">
        <f t="shared" si="2"/>
        <v>91999.999999994761</v>
      </c>
      <c r="X14" s="14">
        <f t="shared" si="2"/>
        <v>91999.999999993976</v>
      </c>
      <c r="Y14" s="14">
        <f t="shared" si="2"/>
        <v>91999.999999993583</v>
      </c>
      <c r="Z14" s="14">
        <f t="shared" si="2"/>
        <v>91999.999999993583</v>
      </c>
      <c r="AA14" s="14">
        <f t="shared" si="2"/>
        <v>91999.99999999319</v>
      </c>
      <c r="AB14" s="14">
        <f t="shared" si="2"/>
        <v>91999.999999993976</v>
      </c>
      <c r="AC14" s="14">
        <f t="shared" si="2"/>
        <v>91999.999999993583</v>
      </c>
      <c r="AD14" s="14">
        <f t="shared" si="2"/>
        <v>91999.99999999319</v>
      </c>
      <c r="AE14" s="14">
        <f t="shared" si="2"/>
        <v>91999.99999999319</v>
      </c>
      <c r="AF14" s="14">
        <f t="shared" si="2"/>
        <v>91999.999999993393</v>
      </c>
      <c r="AG14" s="14">
        <f t="shared" si="2"/>
        <v>91999.999999992986</v>
      </c>
      <c r="AH14" s="14">
        <f t="shared" si="2"/>
        <v>91999.99999999319</v>
      </c>
    </row>
    <row r="15" spans="1:35" x14ac:dyDescent="0.3">
      <c r="D15" t="s">
        <v>26</v>
      </c>
      <c r="E15">
        <f t="shared" ref="E15:AI15" si="3">-($B$7*$B$6)/$B$3*E11</f>
        <v>-538199999.99997938</v>
      </c>
      <c r="F15">
        <f t="shared" si="3"/>
        <v>-526239999.99997938</v>
      </c>
      <c r="G15">
        <f t="shared" si="3"/>
        <v>-514279999.99997956</v>
      </c>
      <c r="H15">
        <f t="shared" si="3"/>
        <v>-502319999.99997991</v>
      </c>
      <c r="I15">
        <f t="shared" si="3"/>
        <v>-490359999.99998027</v>
      </c>
      <c r="J15">
        <f t="shared" si="3"/>
        <v>-478399999.99998075</v>
      </c>
      <c r="K15">
        <f t="shared" si="3"/>
        <v>-466439999.99998122</v>
      </c>
      <c r="L15">
        <f t="shared" si="3"/>
        <v>-454479999.99998188</v>
      </c>
      <c r="M15">
        <f t="shared" si="3"/>
        <v>-442519999.99998248</v>
      </c>
      <c r="N15">
        <f t="shared" si="3"/>
        <v>-430559999.99998319</v>
      </c>
      <c r="O15">
        <f t="shared" si="3"/>
        <v>-418599999.99998385</v>
      </c>
      <c r="P15">
        <f t="shared" si="3"/>
        <v>-406639999.99998456</v>
      </c>
      <c r="Q15">
        <f t="shared" si="3"/>
        <v>-394679999.99998522</v>
      </c>
      <c r="R15">
        <f t="shared" si="3"/>
        <v>-382719999.99998587</v>
      </c>
      <c r="S15">
        <f t="shared" si="3"/>
        <v>-370759999.99998665</v>
      </c>
      <c r="T15">
        <f t="shared" si="3"/>
        <v>-358799999.99998748</v>
      </c>
      <c r="U15">
        <f t="shared" si="3"/>
        <v>-346839999.99998826</v>
      </c>
      <c r="V15">
        <f t="shared" si="3"/>
        <v>-334879999.99998903</v>
      </c>
      <c r="W15">
        <f t="shared" si="3"/>
        <v>-322919999.99998969</v>
      </c>
      <c r="X15">
        <f t="shared" si="3"/>
        <v>-310959999.99999046</v>
      </c>
      <c r="Y15">
        <f t="shared" si="3"/>
        <v>-298999999.9999913</v>
      </c>
      <c r="Z15">
        <f t="shared" si="3"/>
        <v>-287039999.99999213</v>
      </c>
      <c r="AA15">
        <f t="shared" si="3"/>
        <v>-275079999.99999303</v>
      </c>
      <c r="AB15">
        <f t="shared" si="3"/>
        <v>-263119999.9999938</v>
      </c>
      <c r="AC15">
        <f t="shared" si="3"/>
        <v>-251159999.99999464</v>
      </c>
      <c r="AD15">
        <f t="shared" si="3"/>
        <v>-239199999.99999553</v>
      </c>
      <c r="AE15">
        <f t="shared" si="3"/>
        <v>-227239999.99999642</v>
      </c>
      <c r="AF15">
        <f t="shared" si="3"/>
        <v>-215279999.99999726</v>
      </c>
      <c r="AG15">
        <f t="shared" si="3"/>
        <v>-203319999.99999818</v>
      </c>
      <c r="AH15">
        <f t="shared" si="3"/>
        <v>-191359999.99999908</v>
      </c>
      <c r="AI15">
        <f t="shared" si="3"/>
        <v>-179400000</v>
      </c>
    </row>
    <row r="16" spans="1:35" x14ac:dyDescent="0.3">
      <c r="A16" s="8" t="s">
        <v>12</v>
      </c>
      <c r="B16" s="9">
        <v>92000</v>
      </c>
      <c r="D16" t="s">
        <v>27</v>
      </c>
      <c r="E16">
        <v>0</v>
      </c>
      <c r="F16">
        <f t="shared" ref="F16:AI16" si="4">$B$12/($B$13-$B$14*E16)</f>
        <v>0.41095890410958902</v>
      </c>
      <c r="G16">
        <f t="shared" si="4"/>
        <v>0.49446827726349057</v>
      </c>
      <c r="H16">
        <f t="shared" si="4"/>
        <v>0.51576565211146774</v>
      </c>
      <c r="I16">
        <f t="shared" si="4"/>
        <v>0.52149397895713612</v>
      </c>
      <c r="J16">
        <f t="shared" si="4"/>
        <v>0.52305649933975962</v>
      </c>
      <c r="K16">
        <f t="shared" si="4"/>
        <v>0.52348433598989241</v>
      </c>
      <c r="L16">
        <f t="shared" si="4"/>
        <v>0.52360160483419294</v>
      </c>
      <c r="M16">
        <f t="shared" si="4"/>
        <v>0.52363375707534621</v>
      </c>
      <c r="N16">
        <f t="shared" si="4"/>
        <v>0.52364257312109652</v>
      </c>
      <c r="O16">
        <f t="shared" si="4"/>
        <v>0.5236449905056163</v>
      </c>
      <c r="P16">
        <f t="shared" si="4"/>
        <v>0.52364565336314417</v>
      </c>
      <c r="Q16">
        <f t="shared" si="4"/>
        <v>0.52364583512190344</v>
      </c>
      <c r="R16">
        <f t="shared" si="4"/>
        <v>0.52364588496106157</v>
      </c>
      <c r="S16">
        <f t="shared" si="4"/>
        <v>0.52364589862720901</v>
      </c>
      <c r="T16">
        <f t="shared" si="4"/>
        <v>0.52364590237453534</v>
      </c>
      <c r="U16">
        <f t="shared" si="4"/>
        <v>0.52364590340207107</v>
      </c>
      <c r="V16">
        <f t="shared" si="4"/>
        <v>0.52364590368382657</v>
      </c>
      <c r="W16">
        <f t="shared" si="4"/>
        <v>0.52364590376108522</v>
      </c>
      <c r="X16">
        <f t="shared" si="4"/>
        <v>0.52364590378227005</v>
      </c>
      <c r="Y16">
        <f t="shared" si="4"/>
        <v>0.52364590378807896</v>
      </c>
      <c r="Z16">
        <f t="shared" si="4"/>
        <v>0.5236459037896718</v>
      </c>
      <c r="AA16">
        <f t="shared" si="4"/>
        <v>0.52364590379010867</v>
      </c>
      <c r="AB16">
        <f t="shared" si="4"/>
        <v>0.52364590379022846</v>
      </c>
      <c r="AC16">
        <f t="shared" si="4"/>
        <v>0.52364590379026121</v>
      </c>
      <c r="AD16">
        <f t="shared" si="4"/>
        <v>0.52364590379027021</v>
      </c>
      <c r="AE16">
        <f t="shared" si="4"/>
        <v>0.52364590379027265</v>
      </c>
      <c r="AF16">
        <f t="shared" si="4"/>
        <v>0.52364590379027331</v>
      </c>
      <c r="AG16">
        <f t="shared" si="4"/>
        <v>0.52364590379027354</v>
      </c>
      <c r="AH16">
        <f t="shared" si="4"/>
        <v>0.52364590379027354</v>
      </c>
      <c r="AI16">
        <f t="shared" si="4"/>
        <v>0.52364590379027354</v>
      </c>
    </row>
    <row r="17" spans="1:35" x14ac:dyDescent="0.3">
      <c r="A17" s="8" t="s">
        <v>21</v>
      </c>
      <c r="B17" s="9">
        <v>100</v>
      </c>
      <c r="D17" t="s">
        <v>28</v>
      </c>
      <c r="E17">
        <f>E11</f>
        <v>299.99999999998852</v>
      </c>
      <c r="F17">
        <f t="shared" ref="F17:AI17" si="5">(E17*$B$14-F15)/($B$13-$B$14*E16)</f>
        <v>175.52511415524435</v>
      </c>
      <c r="G17">
        <f t="shared" si="5"/>
        <v>148.21554903288347</v>
      </c>
      <c r="H17">
        <f t="shared" si="5"/>
        <v>139.02405508952663</v>
      </c>
      <c r="I17">
        <f t="shared" si="5"/>
        <v>134.26827227809164</v>
      </c>
      <c r="J17">
        <f t="shared" si="5"/>
        <v>130.6719768383239</v>
      </c>
      <c r="K17">
        <f t="shared" si="5"/>
        <v>127.38396821588876</v>
      </c>
      <c r="L17">
        <f t="shared" si="5"/>
        <v>124.17827080756075</v>
      </c>
      <c r="M17">
        <f t="shared" si="5"/>
        <v>120.99456496857873</v>
      </c>
      <c r="N17">
        <f t="shared" si="5"/>
        <v>117.81673293840616</v>
      </c>
      <c r="O17">
        <f t="shared" si="5"/>
        <v>114.6404688187225</v>
      </c>
      <c r="P17">
        <f t="shared" si="5"/>
        <v>111.46462292677066</v>
      </c>
      <c r="Q17">
        <f t="shared" si="5"/>
        <v>108.28888850732315</v>
      </c>
      <c r="R17">
        <f t="shared" si="5"/>
        <v>105.11318377470998</v>
      </c>
      <c r="S17">
        <f t="shared" si="5"/>
        <v>101.93748694122111</v>
      </c>
      <c r="T17">
        <f t="shared" si="5"/>
        <v>98.761792207586282</v>
      </c>
      <c r="U17">
        <f t="shared" si="5"/>
        <v>95.586098031610064</v>
      </c>
      <c r="V17">
        <f t="shared" si="5"/>
        <v>92.410404003574769</v>
      </c>
      <c r="W17">
        <f t="shared" si="5"/>
        <v>89.234710014742276</v>
      </c>
      <c r="X17">
        <f t="shared" si="5"/>
        <v>86.05901603628557</v>
      </c>
      <c r="Y17">
        <f t="shared" si="5"/>
        <v>82.883322060571487</v>
      </c>
      <c r="Z17">
        <f t="shared" si="5"/>
        <v>79.707628085581334</v>
      </c>
      <c r="AA17">
        <f t="shared" si="5"/>
        <v>76.531934110781975</v>
      </c>
      <c r="AB17">
        <f t="shared" si="5"/>
        <v>73.35624013603281</v>
      </c>
      <c r="AC17">
        <f t="shared" si="5"/>
        <v>70.180546161296832</v>
      </c>
      <c r="AD17">
        <f t="shared" si="5"/>
        <v>67.004852186564335</v>
      </c>
      <c r="AE17">
        <f t="shared" si="5"/>
        <v>63.829158211832741</v>
      </c>
      <c r="AF17">
        <f t="shared" si="5"/>
        <v>60.653464237101367</v>
      </c>
      <c r="AG17">
        <f t="shared" si="5"/>
        <v>57.477770262370086</v>
      </c>
      <c r="AH17">
        <f t="shared" si="5"/>
        <v>54.302076287638798</v>
      </c>
      <c r="AI17">
        <f t="shared" si="5"/>
        <v>51.126382312907531</v>
      </c>
    </row>
  </sheetData>
  <conditionalFormatting sqref="E11:AI1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_xludf.insert">
                <anchor moveWithCells="1" sizeWithCells="1">
                  <from>
                    <xdr:col>2</xdr:col>
                    <xdr:colOff>7620</xdr:colOff>
                    <xdr:row>22</xdr:row>
                    <xdr:rowOff>7620</xdr:rowOff>
                  </from>
                  <to>
                    <xdr:col>7</xdr:col>
                    <xdr:colOff>0</xdr:colOff>
                    <xdr:row>28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Граничные условия 1 рода (2)</vt:lpstr>
      <vt:lpstr>Граничные условия 2 рода (2)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2021-03-10T19:34:53Z</dcterms:created>
  <dcterms:modified xsi:type="dcterms:W3CDTF">2021-04-04T14:31:04Z</dcterms:modified>
</cp:coreProperties>
</file>